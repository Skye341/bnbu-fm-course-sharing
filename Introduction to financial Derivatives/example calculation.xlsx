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6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6" i="1"/>
  <c r="B18" i="1"/>
  <c r="D16" i="1"/>
  <c r="D15" i="1"/>
  <c r="B17" i="1" l="1"/>
  <c r="B16" i="1"/>
  <c r="E18" i="1"/>
  <c r="C16" i="1"/>
  <c r="E16" i="1"/>
  <c r="F16" i="1"/>
  <c r="F17" i="1" s="1"/>
  <c r="F18" i="1" s="1"/>
  <c r="C17" i="1"/>
  <c r="C18" i="1" s="1"/>
  <c r="D17" i="1"/>
  <c r="D18" i="1" s="1"/>
  <c r="E17" i="1"/>
  <c r="B15" i="1"/>
  <c r="F15" i="1"/>
  <c r="E15" i="1"/>
  <c r="C15" i="1"/>
  <c r="C6" i="1"/>
  <c r="C7" i="1" s="1"/>
  <c r="D6" i="1"/>
  <c r="D7" i="1" s="1"/>
  <c r="E6" i="1"/>
  <c r="F6" i="1"/>
  <c r="F7" i="1" s="1"/>
  <c r="F8" i="1" s="1"/>
  <c r="B7" i="1"/>
  <c r="E7" i="1"/>
  <c r="C5" i="1"/>
  <c r="D5" i="1"/>
  <c r="E5" i="1"/>
  <c r="F5" i="1"/>
  <c r="B5" i="1"/>
  <c r="D19" i="1" l="1"/>
  <c r="E19" i="1"/>
  <c r="C19" i="1"/>
  <c r="B19" i="1"/>
  <c r="F19" i="1"/>
  <c r="C9" i="1"/>
  <c r="C8" i="1"/>
  <c r="D9" i="1"/>
  <c r="E8" i="1"/>
  <c r="E9" i="1" s="1"/>
  <c r="D8" i="1"/>
  <c r="F9" i="1"/>
</calcChain>
</file>

<file path=xl/sharedStrings.xml><?xml version="1.0" encoding="utf-8"?>
<sst xmlns="http://schemas.openxmlformats.org/spreadsheetml/2006/main" count="18" uniqueCount="11">
  <si>
    <t>futures price of index today</t>
  </si>
  <si>
    <t>futures price of index in 3 months</t>
  </si>
  <si>
    <t>gain on futures position</t>
  </si>
  <si>
    <t>return on market</t>
  </si>
  <si>
    <t>expected return on portfolio</t>
  </si>
  <si>
    <t>expected portfolio value in 3 months including dividends</t>
  </si>
  <si>
    <t>total value of position in 3 months</t>
  </si>
  <si>
    <t>With dividend</t>
  </si>
  <si>
    <t>Without dividend</t>
  </si>
  <si>
    <t>value of index in 3 months</t>
  </si>
  <si>
    <t>expected portfolio value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</si>
</sst>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Normal="100" workbookViewId="0">
      <selection activeCell="B9" sqref="B9"/>
    </sheetView>
  </sheetViews>
  <sheetFormatPr defaultRowHeight="14.4" x14ac:dyDescent="0.25"/>
  <cols>
    <col min="1" max="1" width="52.109375" customWidth="1"/>
  </cols>
  <sheetData>
    <row r="1" spans="1:6" x14ac:dyDescent="0.25">
      <c r="A1" s="1" t="s">
        <v>7</v>
      </c>
    </row>
    <row r="2" spans="1:6" x14ac:dyDescent="0.25">
      <c r="A2" t="s">
        <v>9</v>
      </c>
      <c r="B2">
        <v>900</v>
      </c>
      <c r="C2">
        <v>950</v>
      </c>
      <c r="D2">
        <v>1000</v>
      </c>
      <c r="E2">
        <v>1050</v>
      </c>
      <c r="F2">
        <v>1100</v>
      </c>
    </row>
    <row r="3" spans="1:6" x14ac:dyDescent="0.25">
      <c r="A3" t="s">
        <v>0</v>
      </c>
      <c r="B3">
        <v>1010</v>
      </c>
      <c r="C3">
        <v>1010</v>
      </c>
      <c r="D3">
        <v>1010</v>
      </c>
      <c r="E3">
        <v>1010</v>
      </c>
      <c r="F3">
        <v>1010</v>
      </c>
    </row>
    <row r="4" spans="1:6" x14ac:dyDescent="0.25">
      <c r="A4" t="s">
        <v>1</v>
      </c>
      <c r="B4">
        <v>902</v>
      </c>
      <c r="C4">
        <v>952</v>
      </c>
      <c r="D4">
        <v>1003</v>
      </c>
      <c r="E4">
        <v>1053</v>
      </c>
      <c r="F4">
        <v>1103</v>
      </c>
    </row>
    <row r="5" spans="1:6" x14ac:dyDescent="0.25">
      <c r="A5" s="1" t="s">
        <v>2</v>
      </c>
      <c r="B5">
        <f>(B3-B4)*30*250</f>
        <v>810000</v>
      </c>
      <c r="C5">
        <f t="shared" ref="C5:F5" si="0">(C3-C4)*30*250</f>
        <v>435000</v>
      </c>
      <c r="D5">
        <f t="shared" si="0"/>
        <v>52500</v>
      </c>
      <c r="E5">
        <f t="shared" si="0"/>
        <v>-322500</v>
      </c>
      <c r="F5">
        <f t="shared" si="0"/>
        <v>-697500</v>
      </c>
    </row>
    <row r="6" spans="1:6" x14ac:dyDescent="0.25">
      <c r="A6" t="s">
        <v>3</v>
      </c>
      <c r="B6">
        <f>(B2-1000)/1000+0.25%</f>
        <v>-9.7500000000000003E-2</v>
      </c>
      <c r="C6">
        <f t="shared" ref="C6:F6" si="1">(C2-1000)/1000+0.25%</f>
        <v>-4.7500000000000001E-2</v>
      </c>
      <c r="D6">
        <f t="shared" si="1"/>
        <v>2.5000000000000001E-3</v>
      </c>
      <c r="E6">
        <f t="shared" si="1"/>
        <v>5.2500000000000005E-2</v>
      </c>
      <c r="F6">
        <f t="shared" si="1"/>
        <v>0.10250000000000001</v>
      </c>
    </row>
    <row r="7" spans="1:6" x14ac:dyDescent="0.25">
      <c r="A7" t="s">
        <v>4</v>
      </c>
      <c r="B7">
        <f>0.01+1.5*(B6-0.01)</f>
        <v>-0.15125</v>
      </c>
      <c r="C7">
        <f t="shared" ref="C7:F7" si="2">0.01+1.5*(C6-0.01)</f>
        <v>-7.6250000000000012E-2</v>
      </c>
      <c r="D7">
        <f t="shared" si="2"/>
        <v>-1.2499999999999994E-3</v>
      </c>
      <c r="E7">
        <f t="shared" si="2"/>
        <v>7.3749999999999996E-2</v>
      </c>
      <c r="F7">
        <f t="shared" si="2"/>
        <v>0.14875000000000002</v>
      </c>
    </row>
    <row r="8" spans="1:6" x14ac:dyDescent="0.25">
      <c r="A8" s="1" t="s">
        <v>5</v>
      </c>
      <c r="B8">
        <f>5050000*(1+B7)</f>
        <v>4286187.5</v>
      </c>
      <c r="C8">
        <f t="shared" ref="C8:F8" si="3">5050000*(1+C7)</f>
        <v>4664937.5</v>
      </c>
      <c r="D8">
        <f t="shared" si="3"/>
        <v>5043687.5</v>
      </c>
      <c r="E8">
        <f t="shared" si="3"/>
        <v>5422437.5</v>
      </c>
      <c r="F8">
        <f t="shared" si="3"/>
        <v>5801187.5</v>
      </c>
    </row>
    <row r="9" spans="1:6" x14ac:dyDescent="0.25">
      <c r="A9" s="1" t="s">
        <v>6</v>
      </c>
      <c r="B9">
        <f>B5+B8</f>
        <v>5096187.5</v>
      </c>
      <c r="C9">
        <f t="shared" ref="C9:F9" si="4">C5+C8</f>
        <v>5099937.5</v>
      </c>
      <c r="D9">
        <f t="shared" si="4"/>
        <v>5096187.5</v>
      </c>
      <c r="E9">
        <f t="shared" si="4"/>
        <v>5099937.5</v>
      </c>
      <c r="F9">
        <f t="shared" si="4"/>
        <v>5103687.5</v>
      </c>
    </row>
    <row r="11" spans="1:6" x14ac:dyDescent="0.25">
      <c r="A11" s="1" t="s">
        <v>8</v>
      </c>
    </row>
    <row r="12" spans="1:6" x14ac:dyDescent="0.25">
      <c r="A12" t="s">
        <v>9</v>
      </c>
      <c r="B12">
        <v>900</v>
      </c>
      <c r="C12">
        <v>950</v>
      </c>
      <c r="D12">
        <v>1000</v>
      </c>
      <c r="E12">
        <v>1050</v>
      </c>
      <c r="F12">
        <v>1100</v>
      </c>
    </row>
    <row r="13" spans="1:6" x14ac:dyDescent="0.25">
      <c r="A13" t="s">
        <v>0</v>
      </c>
      <c r="B13">
        <v>1010</v>
      </c>
      <c r="C13">
        <v>1010</v>
      </c>
      <c r="D13">
        <v>1010</v>
      </c>
      <c r="E13">
        <v>1010</v>
      </c>
      <c r="F13">
        <v>1010</v>
      </c>
    </row>
    <row r="14" spans="1:6" x14ac:dyDescent="0.25">
      <c r="A14" t="s">
        <v>1</v>
      </c>
      <c r="B14">
        <v>902</v>
      </c>
      <c r="C14">
        <v>952</v>
      </c>
      <c r="D14">
        <v>1003</v>
      </c>
      <c r="E14">
        <v>1053</v>
      </c>
      <c r="F14">
        <v>1103</v>
      </c>
    </row>
    <row r="15" spans="1:6" x14ac:dyDescent="0.25">
      <c r="A15" s="1" t="s">
        <v>2</v>
      </c>
      <c r="B15">
        <f>(B13-B14)*30*250</f>
        <v>810000</v>
      </c>
      <c r="C15">
        <f t="shared" ref="C15" si="5">(C13-C14)*30*250</f>
        <v>435000</v>
      </c>
      <c r="D15">
        <f>(D13-D14)*30*250</f>
        <v>52500</v>
      </c>
      <c r="E15">
        <f t="shared" ref="E15" si="6">(E13-E14)*30*250</f>
        <v>-322500</v>
      </c>
      <c r="F15">
        <f t="shared" ref="F15" si="7">(F13-F14)*30*250</f>
        <v>-697500</v>
      </c>
    </row>
    <row r="16" spans="1:6" x14ac:dyDescent="0.25">
      <c r="A16" t="s">
        <v>3</v>
      </c>
      <c r="B16">
        <f>(B12-1000)/1000</f>
        <v>-0.1</v>
      </c>
      <c r="C16">
        <f t="shared" ref="C16:F16" si="8">(C12-1000)/1000</f>
        <v>-0.05</v>
      </c>
      <c r="D16">
        <f>(D12-1000)/1000</f>
        <v>0</v>
      </c>
      <c r="E16">
        <f t="shared" si="8"/>
        <v>0.05</v>
      </c>
      <c r="F16">
        <f t="shared" si="8"/>
        <v>0.1</v>
      </c>
    </row>
    <row r="17" spans="1:6" x14ac:dyDescent="0.25">
      <c r="A17" t="s">
        <v>4</v>
      </c>
      <c r="B17">
        <f>0.01+1.5*(B16-0.01)</f>
        <v>-0.155</v>
      </c>
      <c r="C17">
        <f t="shared" ref="C17:F17" si="9">0.01+1.5*(C16-0.01)</f>
        <v>-8.0000000000000016E-2</v>
      </c>
      <c r="D17">
        <f t="shared" si="9"/>
        <v>-4.9999999999999992E-3</v>
      </c>
      <c r="E17">
        <f t="shared" si="9"/>
        <v>6.9999999999999993E-2</v>
      </c>
      <c r="F17">
        <f t="shared" si="9"/>
        <v>0.14500000000000002</v>
      </c>
    </row>
    <row r="18" spans="1:6" x14ac:dyDescent="0.25">
      <c r="A18" s="1" t="s">
        <v>10</v>
      </c>
      <c r="B18">
        <f>5050000*(1+B17)</f>
        <v>4267250</v>
      </c>
      <c r="C18">
        <f t="shared" ref="C18" si="10">5050000*(1+C17)</f>
        <v>4646000</v>
      </c>
      <c r="D18">
        <f t="shared" ref="D18" si="11">5050000*(1+D17)</f>
        <v>5024750</v>
      </c>
      <c r="E18">
        <f t="shared" ref="E18" si="12">5050000*(1+E17)</f>
        <v>5403500</v>
      </c>
      <c r="F18">
        <f t="shared" ref="F18" si="13">5050000*(1+F17)</f>
        <v>5782250</v>
      </c>
    </row>
    <row r="19" spans="1:6" x14ac:dyDescent="0.25">
      <c r="A19" s="1" t="s">
        <v>6</v>
      </c>
      <c r="B19">
        <f>B15+B18</f>
        <v>5077250</v>
      </c>
      <c r="C19">
        <f t="shared" ref="C19" si="14">C15+C18</f>
        <v>5081000</v>
      </c>
      <c r="D19">
        <f t="shared" ref="D19" si="15">D15+D18</f>
        <v>5077250</v>
      </c>
      <c r="E19">
        <f t="shared" ref="E19" si="16">E15+E18</f>
        <v>5081000</v>
      </c>
      <c r="F19">
        <f t="shared" ref="F19" si="17">F15+F18</f>
        <v>5084750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University of Hong Kong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Sherry Zhou</cp:lastModifiedBy>
  <cp:lastPrinted>2020-03-05T13:19:20Z</cp:lastPrinted>
  <dcterms:created xsi:type="dcterms:W3CDTF">2016-02-06T15:11:26Z</dcterms:created>
  <dcterms:modified xsi:type="dcterms:W3CDTF">2020-03-05T13:19:48Z</dcterms:modified>
</cp:coreProperties>
</file>